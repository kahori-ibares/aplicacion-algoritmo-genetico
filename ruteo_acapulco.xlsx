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 Detalladas" sheetId="1" state="visible" r:id="rId1"/>
    <sheet name="Dashboard" sheetId="2" state="visible" r:id="rId2"/>
    <sheet name="Demanda Colon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t&quot;"/>
    <numFmt numFmtId="165" formatCode="0.00&quot; km&quot;"/>
    <numFmt numFmtId="166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E74C3C"/>
      <sz val="9"/>
    </font>
    <font>
      <name val="Arial"/>
      <color rgb="00FFD700"/>
      <sz val="9"/>
    </font>
    <font>
      <name val="Arial"/>
      <b val="1"/>
      <color rgb="003498DB"/>
      <sz val="9"/>
    </font>
    <font>
      <name val="Arial"/>
      <b val="1"/>
      <color rgb="002ECC71"/>
      <sz val="9"/>
    </font>
    <font>
      <name val="Arial"/>
      <b val="1"/>
      <color rgb="00F39C12"/>
      <sz val="9"/>
    </font>
    <font>
      <name val="Arial"/>
      <b val="1"/>
      <color rgb="009B59B6"/>
      <sz val="9"/>
    </font>
    <font>
      <name val="Arial"/>
      <b val="1"/>
      <color rgb="001ABC9C"/>
      <sz val="9"/>
    </font>
    <font>
      <name val="Arial"/>
      <b val="1"/>
      <color rgb="00E67E22"/>
      <sz val="9"/>
    </font>
    <font>
      <name val="Arial"/>
      <b val="1"/>
      <color rgb="0095A5A6"/>
      <sz val="9"/>
    </font>
    <font>
      <name val="Arial"/>
      <b val="1"/>
      <color rgb="00F1C40F"/>
      <sz val="9"/>
    </font>
    <font>
      <name val="Arial"/>
      <b val="1"/>
      <color rgb="0016A085"/>
      <sz val="9"/>
    </font>
    <font>
      <name val="Arial"/>
      <b val="1"/>
      <color rgb="008E44AD"/>
      <sz val="9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E74C3C"/>
      </patternFill>
    </fill>
    <fill>
      <patternFill patternType="solid">
        <fgColor rgb="FFFFF3CD"/>
      </patternFill>
    </fill>
    <fill>
      <patternFill patternType="solid">
        <fgColor rgb="FF3498DB"/>
      </patternFill>
    </fill>
    <fill>
      <patternFill patternType="solid">
        <fgColor rgb="FF2ECC71"/>
      </patternFill>
    </fill>
    <fill>
      <patternFill patternType="solid">
        <fgColor rgb="FFF39C12"/>
      </patternFill>
    </fill>
    <fill>
      <patternFill patternType="solid">
        <fgColor rgb="FF9B59B6"/>
      </patternFill>
    </fill>
    <fill>
      <patternFill patternType="solid">
        <fgColor rgb="FF1ABC9C"/>
      </patternFill>
    </fill>
    <fill>
      <patternFill patternType="solid">
        <fgColor rgb="FFE67E22"/>
      </patternFill>
    </fill>
    <fill>
      <patternFill patternType="solid">
        <fgColor rgb="FF95A5A6"/>
      </patternFill>
    </fill>
    <fill>
      <patternFill patternType="solid">
        <fgColor rgb="FFF1C40F"/>
      </patternFill>
    </fill>
    <fill>
      <patternFill patternType="solid">
        <fgColor rgb="FF16A085"/>
      </patternFill>
    </fill>
    <fill>
      <patternFill patternType="solid">
        <fgColor rgb="FF8E44AD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8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0" fillId="4" borderId="1" pivotButton="0" quotePrefix="0" xfId="0"/>
    <xf numFmtId="0" fontId="4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 wrapText="1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6" fillId="5" borderId="1" pivotButton="0" quotePrefix="0" xfId="0"/>
    <xf numFmtId="0" fontId="5" fillId="5" borderId="1" pivotButton="0" quotePrefix="0" xfId="0"/>
    <xf numFmtId="0" fontId="0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0" fontId="8" fillId="0" borderId="1" applyAlignment="1" pivotButton="0" quotePrefix="0" xfId="0">
      <alignment horizontal="center"/>
    </xf>
    <xf numFmtId="0" fontId="0" fillId="6" borderId="1" pivotButton="0" quotePrefix="0" xfId="0"/>
    <xf numFmtId="0" fontId="8" fillId="5" borderId="1" pivotButton="0" quotePrefix="0" xfId="0"/>
    <xf numFmtId="0" fontId="9" fillId="0" borderId="1" applyAlignment="1" pivotButton="0" quotePrefix="0" xfId="0">
      <alignment horizontal="center"/>
    </xf>
    <xf numFmtId="0" fontId="0" fillId="7" borderId="1" pivotButton="0" quotePrefix="0" xfId="0"/>
    <xf numFmtId="0" fontId="9" fillId="5" borderId="1" pivotButton="0" quotePrefix="0" xfId="0"/>
    <xf numFmtId="0" fontId="10" fillId="0" borderId="1" applyAlignment="1" pivotButton="0" quotePrefix="0" xfId="0">
      <alignment horizontal="center"/>
    </xf>
    <xf numFmtId="0" fontId="0" fillId="8" borderId="1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center"/>
    </xf>
    <xf numFmtId="0" fontId="0" fillId="9" borderId="1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center"/>
    </xf>
    <xf numFmtId="0" fontId="0" fillId="10" borderId="1" pivotButton="0" quotePrefix="0" xfId="0"/>
    <xf numFmtId="0" fontId="12" fillId="5" borderId="1" pivotButton="0" quotePrefix="0" xfId="0"/>
    <xf numFmtId="0" fontId="13" fillId="0" borderId="1" applyAlignment="1" pivotButton="0" quotePrefix="0" xfId="0">
      <alignment horizontal="center"/>
    </xf>
    <xf numFmtId="0" fontId="0" fillId="11" borderId="1" pivotButton="0" quotePrefix="0" xfId="0"/>
    <xf numFmtId="0" fontId="13" fillId="5" borderId="1" pivotButton="0" quotePrefix="0" xfId="0"/>
    <xf numFmtId="0" fontId="14" fillId="0" borderId="1" applyAlignment="1" pivotButton="0" quotePrefix="0" xfId="0">
      <alignment horizontal="center"/>
    </xf>
    <xf numFmtId="0" fontId="0" fillId="12" borderId="1" pivotButton="0" quotePrefix="0" xfId="0"/>
    <xf numFmtId="0" fontId="14" fillId="5" borderId="1" pivotButton="0" quotePrefix="0" xfId="0"/>
    <xf numFmtId="0" fontId="15" fillId="0" borderId="1" applyAlignment="1" pivotButton="0" quotePrefix="0" xfId="0">
      <alignment horizontal="center"/>
    </xf>
    <xf numFmtId="0" fontId="0" fillId="13" borderId="1" pivotButton="0" quotePrefix="0" xfId="0"/>
    <xf numFmtId="0" fontId="15" fillId="5" borderId="1" pivotButton="0" quotePrefix="0" xfId="0"/>
    <xf numFmtId="0" fontId="16" fillId="0" borderId="1" applyAlignment="1" pivotButton="0" quotePrefix="0" xfId="0">
      <alignment horizontal="center"/>
    </xf>
    <xf numFmtId="0" fontId="0" fillId="14" borderId="1" pivotButton="0" quotePrefix="0" xfId="0"/>
    <xf numFmtId="0" fontId="16" fillId="5" borderId="1" pivotButton="0" quotePrefix="0" xfId="0"/>
    <xf numFmtId="0" fontId="17" fillId="0" borderId="1" applyAlignment="1" pivotButton="0" quotePrefix="0" xfId="0">
      <alignment horizontal="center"/>
    </xf>
    <xf numFmtId="0" fontId="0" fillId="15" borderId="1" pivotButton="0" quotePrefix="0" xfId="0"/>
    <xf numFmtId="0" fontId="17" fillId="5" borderId="1" pivotButton="0" quotePrefix="0" xfId="0"/>
    <xf numFmtId="0" fontId="3" fillId="2" borderId="1" pivotButton="0" quotePrefix="0" xfId="0"/>
    <xf numFmtId="0" fontId="0" fillId="2" borderId="1" pivotButton="0" quotePrefix="0" xfId="0"/>
    <xf numFmtId="0" fontId="18" fillId="2" borderId="1" applyAlignment="1" pivotButton="0" quotePrefix="0" xfId="0">
      <alignment horizontal="center"/>
    </xf>
    <xf numFmtId="164" fontId="18" fillId="2" borderId="1" pivotButton="0" quotePrefix="0" xfId="0"/>
    <xf numFmtId="165" fontId="18" fillId="2" borderId="1" pivotButton="0" quotePrefix="0" xfId="0"/>
    <xf numFmtId="0" fontId="1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6" fillId="16" borderId="1" pivotButton="0" quotePrefix="0" xfId="0"/>
    <xf numFmtId="0" fontId="4" fillId="16" borderId="1" applyAlignment="1" pivotButton="0" quotePrefix="0" xfId="0">
      <alignment horizontal="center"/>
    </xf>
    <xf numFmtId="164" fontId="4" fillId="16" borderId="1" applyAlignment="1" pivotButton="0" quotePrefix="0" xfId="0">
      <alignment horizontal="center"/>
    </xf>
    <xf numFmtId="165" fontId="4" fillId="16" borderId="1" applyAlignment="1" pivotButton="0" quotePrefix="0" xfId="0">
      <alignment horizontal="center"/>
    </xf>
    <xf numFmtId="166" fontId="4" fillId="16" borderId="1" applyAlignment="1" pivotButton="0" quotePrefix="0" xfId="0">
      <alignment horizontal="center"/>
    </xf>
    <xf numFmtId="0" fontId="8" fillId="17" borderId="1" pivotButton="0" quotePrefix="0" xfId="0"/>
    <xf numFmtId="0" fontId="4" fillId="17" borderId="1" applyAlignment="1" pivotButton="0" quotePrefix="0" xfId="0">
      <alignment horizontal="center"/>
    </xf>
    <xf numFmtId="164" fontId="4" fillId="17" borderId="1" applyAlignment="1" pivotButton="0" quotePrefix="0" xfId="0">
      <alignment horizontal="center"/>
    </xf>
    <xf numFmtId="165" fontId="4" fillId="17" borderId="1" applyAlignment="1" pivotButton="0" quotePrefix="0" xfId="0">
      <alignment horizontal="center"/>
    </xf>
    <xf numFmtId="166" fontId="4" fillId="17" borderId="1" applyAlignment="1" pivotButton="0" quotePrefix="0" xfId="0">
      <alignment horizontal="center"/>
    </xf>
    <xf numFmtId="0" fontId="9" fillId="16" borderId="1" pivotButton="0" quotePrefix="0" xfId="0"/>
    <xf numFmtId="0" fontId="10" fillId="17" borderId="1" pivotButton="0" quotePrefix="0" xfId="0"/>
    <xf numFmtId="0" fontId="11" fillId="16" borderId="1" pivotButton="0" quotePrefix="0" xfId="0"/>
    <xf numFmtId="0" fontId="12" fillId="17" borderId="1" pivotButton="0" quotePrefix="0" xfId="0"/>
    <xf numFmtId="0" fontId="13" fillId="16" borderId="1" pivotButton="0" quotePrefix="0" xfId="0"/>
    <xf numFmtId="0" fontId="14" fillId="17" borderId="1" pivotButton="0" quotePrefix="0" xfId="0"/>
    <xf numFmtId="0" fontId="15" fillId="16" borderId="1" pivotButton="0" quotePrefix="0" xfId="0"/>
    <xf numFmtId="0" fontId="16" fillId="17" borderId="1" pivotButton="0" quotePrefix="0" xfId="0"/>
    <xf numFmtId="0" fontId="17" fillId="16" borderId="1" pivotButton="0" quotePrefix="0" xfId="0"/>
    <xf numFmtId="0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0" fontId="20" fillId="2" borderId="0" applyAlignment="1" pivotButton="0" quotePrefix="0" xfId="0">
      <alignment horizontal="center"/>
    </xf>
    <xf numFmtId="0" fontId="4" fillId="16" borderId="1" pivotButton="0" quotePrefix="0" xfId="0"/>
    <xf numFmtId="2" fontId="4" fillId="16" borderId="1" applyAlignment="1" pivotButton="0" quotePrefix="0" xfId="0">
      <alignment horizontal="center"/>
    </xf>
    <xf numFmtId="0" fontId="4" fillId="18" borderId="1" applyAlignment="1" pivotButton="0" quotePrefix="0" xfId="0">
      <alignment horizontal="center"/>
    </xf>
    <xf numFmtId="0" fontId="4" fillId="18" borderId="1" pivotButton="0" quotePrefix="0" xfId="0"/>
    <xf numFmtId="2" fontId="4" fillId="18" borderId="1" applyAlignment="1" pivotButton="0" quotePrefix="0" xfId="0">
      <alignment horizontal="center"/>
    </xf>
    <xf numFmtId="2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Toneladas recolectadas por camión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</f>
            </strRef>
          </tx>
          <spPr>
            <a:ln>
              <a:prstDash val="solid"/>
            </a:ln>
          </spPr>
          <cat>
            <numRef>
              <f>'Dashboard'!$A$3:$A$13</f>
            </numRef>
          </cat>
          <val>
            <numRef>
              <f>'Dashboard'!$C$3:$C$13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Toneladas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4" customWidth="1" min="4" max="4"/>
    <col width="55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36" customHeight="1">
      <c r="A1" s="1" t="inlineStr">
        <is>
          <t>🚛  RUTEO DE CAMIONES DE BASURA — PUERTO DE ACAPULCO, GRO.</t>
        </is>
      </c>
    </row>
    <row r="2" ht="20" customHeight="1">
      <c r="A2" s="2" t="inlineStr">
        <is>
          <t>Depósito: Paso Texca   |   Camiones: 12   |   Capacidad: 10.0 t/viaje   |   Máx. viajes: 3   |   Basura total: 250.0 t</t>
        </is>
      </c>
    </row>
    <row r="3" ht="8" customHeight="1"/>
    <row r="4" ht="30" customHeight="1">
      <c r="A4" s="3" t="inlineStr">
        <is>
          <t>Camión</t>
        </is>
      </c>
      <c r="B4" s="3" t="inlineStr">
        <is>
          <t>Color</t>
        </is>
      </c>
      <c r="C4" s="3" t="inlineStr">
        <is>
          <t># Viaje</t>
        </is>
      </c>
      <c r="D4" s="3" t="inlineStr">
        <is>
          <t>Salida</t>
        </is>
      </c>
      <c r="E4" s="3" t="inlineStr">
        <is>
          <t>Colonias visitadas (ruta completa)</t>
        </is>
      </c>
      <c r="F4" s="3" t="inlineStr">
        <is>
          <t>Llegada</t>
        </is>
      </c>
      <c r="G4" s="3" t="inlineStr">
        <is>
          <t>Ton. este viaje</t>
        </is>
      </c>
      <c r="H4" s="3" t="inlineStr">
        <is>
          <t>Ton. acumuladas</t>
        </is>
      </c>
      <c r="I4" s="3" t="inlineStr">
        <is>
          <t>Km est. viaje</t>
        </is>
      </c>
    </row>
    <row r="5" ht="18" customHeight="1">
      <c r="A5" s="4" t="inlineStr">
        <is>
          <t>Camión 01</t>
        </is>
      </c>
      <c r="B5" s="5" t="n"/>
      <c r="C5" s="6" t="inlineStr">
        <is>
          <t>Viaje 1</t>
        </is>
      </c>
      <c r="D5" s="7" t="inlineStr">
        <is>
          <t>Paso Texca</t>
        </is>
      </c>
      <c r="E5" s="8" t="inlineStr">
        <is>
          <t>Libertadores</t>
        </is>
      </c>
      <c r="F5" s="7" t="inlineStr">
        <is>
          <t>Paso Texca</t>
        </is>
      </c>
      <c r="G5" s="9" t="n">
        <v>8.74</v>
      </c>
      <c r="H5" s="9" t="n">
        <v>8.74</v>
      </c>
      <c r="I5" s="10" t="n">
        <v>33.68</v>
      </c>
    </row>
    <row r="6" ht="22" customHeight="1">
      <c r="A6" s="4" t="inlineStr">
        <is>
          <t>Camión 01</t>
        </is>
      </c>
      <c r="B6" s="5" t="n"/>
      <c r="C6" s="6" t="inlineStr">
        <is>
          <t>Viaje 2</t>
        </is>
      </c>
      <c r="D6" s="7" t="inlineStr">
        <is>
          <t>Paso Texca</t>
        </is>
      </c>
      <c r="E6" s="8" t="inlineStr">
        <is>
          <t>Zapata → Hornos</t>
        </is>
      </c>
      <c r="F6" s="7" t="inlineStr">
        <is>
          <t>Paso Texca</t>
        </is>
      </c>
      <c r="G6" s="9" t="n">
        <v>9.949999999999999</v>
      </c>
      <c r="H6" s="9" t="n">
        <v>18.69</v>
      </c>
      <c r="I6" s="10" t="n">
        <v>32.83</v>
      </c>
    </row>
    <row r="7" ht="22" customHeight="1">
      <c r="A7" s="4" t="inlineStr">
        <is>
          <t>Camión 01</t>
        </is>
      </c>
      <c r="B7" s="5" t="n"/>
      <c r="C7" s="6" t="inlineStr">
        <is>
          <t>Viaje 3</t>
        </is>
      </c>
      <c r="D7" s="7" t="inlineStr">
        <is>
          <t>Paso Texca</t>
        </is>
      </c>
      <c r="E7" s="8" t="inlineStr">
        <is>
          <t>Jardin Palmas → Emiliano Zapata</t>
        </is>
      </c>
      <c r="F7" s="7" t="inlineStr">
        <is>
          <t>Paso Texca</t>
        </is>
      </c>
      <c r="G7" s="9" t="n">
        <v>9.539999999999999</v>
      </c>
      <c r="H7" s="9" t="n">
        <v>28.23</v>
      </c>
      <c r="I7" s="10" t="n">
        <v>30.79</v>
      </c>
    </row>
    <row r="8">
      <c r="A8" s="11" t="inlineStr">
        <is>
          <t>Camión 01</t>
        </is>
      </c>
      <c r="B8" s="5" t="n"/>
      <c r="C8" s="12" t="inlineStr">
        <is>
          <t>SUBTOTAL (3 viajes)</t>
        </is>
      </c>
      <c r="D8" s="13" t="n"/>
      <c r="E8" s="13" t="n"/>
      <c r="F8" s="13" t="n"/>
      <c r="G8" s="14" t="n">
        <v>28.23</v>
      </c>
      <c r="H8" s="13" t="n"/>
      <c r="I8" s="15" t="n">
        <v>97.3</v>
      </c>
    </row>
    <row r="10" ht="18" customHeight="1">
      <c r="A10" s="16" t="inlineStr">
        <is>
          <t>Camión 02</t>
        </is>
      </c>
      <c r="B10" s="17" t="n"/>
      <c r="C10" s="6" t="inlineStr">
        <is>
          <t>Viaje 1</t>
        </is>
      </c>
      <c r="D10" s="7" t="inlineStr">
        <is>
          <t>Paso Texca</t>
        </is>
      </c>
      <c r="E10" s="8" t="inlineStr">
        <is>
          <t>Farallon</t>
        </is>
      </c>
      <c r="F10" s="7" t="inlineStr">
        <is>
          <t>Paso Texca</t>
        </is>
      </c>
      <c r="G10" s="9" t="n">
        <v>8</v>
      </c>
      <c r="H10" s="9" t="n">
        <v>8</v>
      </c>
      <c r="I10" s="10" t="n">
        <v>33.61</v>
      </c>
    </row>
    <row r="11" ht="22" customHeight="1">
      <c r="A11" s="16" t="inlineStr">
        <is>
          <t>Camión 02</t>
        </is>
      </c>
      <c r="B11" s="17" t="n"/>
      <c r="C11" s="6" t="inlineStr">
        <is>
          <t>Viaje 2</t>
        </is>
      </c>
      <c r="D11" s="7" t="inlineStr">
        <is>
          <t>Paso Texca</t>
        </is>
      </c>
      <c r="E11" s="8" t="inlineStr">
        <is>
          <t>Renacimiento → Coloso</t>
        </is>
      </c>
      <c r="F11" s="7" t="inlineStr">
        <is>
          <t>Paso Texca</t>
        </is>
      </c>
      <c r="G11" s="9" t="n">
        <v>9.65</v>
      </c>
      <c r="H11" s="9" t="n">
        <v>17.65</v>
      </c>
      <c r="I11" s="10" t="n">
        <v>33.1</v>
      </c>
    </row>
    <row r="12" ht="18" customHeight="1">
      <c r="A12" s="16" t="inlineStr">
        <is>
          <t>Camión 02</t>
        </is>
      </c>
      <c r="B12" s="17" t="n"/>
      <c r="C12" s="6" t="inlineStr">
        <is>
          <t>Viaje 3</t>
        </is>
      </c>
      <c r="D12" s="7" t="inlineStr">
        <is>
          <t>Paso Texca</t>
        </is>
      </c>
      <c r="E12" s="8" t="inlineStr">
        <is>
          <t>La Sabana</t>
        </is>
      </c>
      <c r="F12" s="7" t="inlineStr">
        <is>
          <t>Paso Texca</t>
        </is>
      </c>
      <c r="G12" s="9" t="n">
        <v>5.24</v>
      </c>
      <c r="H12" s="9" t="n">
        <v>22.89</v>
      </c>
      <c r="I12" s="10" t="n">
        <v>24.6</v>
      </c>
    </row>
    <row r="13">
      <c r="A13" s="18" t="inlineStr">
        <is>
          <t>Camión 02</t>
        </is>
      </c>
      <c r="B13" s="17" t="n"/>
      <c r="C13" s="12" t="inlineStr">
        <is>
          <t>SUBTOTAL (3 viajes)</t>
        </is>
      </c>
      <c r="D13" s="13" t="n"/>
      <c r="E13" s="13" t="n"/>
      <c r="F13" s="13" t="n"/>
      <c r="G13" s="14" t="n">
        <v>22.89</v>
      </c>
      <c r="H13" s="13" t="n"/>
      <c r="I13" s="15" t="n">
        <v>91.31</v>
      </c>
    </row>
    <row r="15" ht="18" customHeight="1">
      <c r="A15" s="19" t="inlineStr">
        <is>
          <t>Camión 03</t>
        </is>
      </c>
      <c r="B15" s="20" t="n"/>
      <c r="C15" s="6" t="inlineStr">
        <is>
          <t>Viaje 1</t>
        </is>
      </c>
      <c r="D15" s="7" t="inlineStr">
        <is>
          <t>Paso Texca</t>
        </is>
      </c>
      <c r="E15" s="8" t="inlineStr">
        <is>
          <t>Costa Azul</t>
        </is>
      </c>
      <c r="F15" s="7" t="inlineStr">
        <is>
          <t>Paso Texca</t>
        </is>
      </c>
      <c r="G15" s="9" t="n">
        <v>8.210000000000001</v>
      </c>
      <c r="H15" s="9" t="n">
        <v>8.210000000000001</v>
      </c>
      <c r="I15" s="10" t="n">
        <v>34.85</v>
      </c>
    </row>
    <row r="16" ht="18" customHeight="1">
      <c r="A16" s="19" t="inlineStr">
        <is>
          <t>Camión 03</t>
        </is>
      </c>
      <c r="B16" s="20" t="n"/>
      <c r="C16" s="6" t="inlineStr">
        <is>
          <t>Viaje 2</t>
        </is>
      </c>
      <c r="D16" s="7" t="inlineStr">
        <is>
          <t>Paso Texca</t>
        </is>
      </c>
      <c r="E16" s="8" t="inlineStr">
        <is>
          <t>Jardin Mangos</t>
        </is>
      </c>
      <c r="F16" s="7" t="inlineStr">
        <is>
          <t>Paso Texca</t>
        </is>
      </c>
      <c r="G16" s="9" t="n">
        <v>8.609999999999999</v>
      </c>
      <c r="H16" s="9" t="n">
        <v>16.82</v>
      </c>
      <c r="I16" s="10" t="n">
        <v>29.96</v>
      </c>
    </row>
    <row r="17" ht="22" customHeight="1">
      <c r="A17" s="19" t="inlineStr">
        <is>
          <t>Camión 03</t>
        </is>
      </c>
      <c r="B17" s="20" t="n"/>
      <c r="C17" s="6" t="inlineStr">
        <is>
          <t>Viaje 3</t>
        </is>
      </c>
      <c r="D17" s="7" t="inlineStr">
        <is>
          <t>Paso Texca</t>
        </is>
      </c>
      <c r="E17" s="8" t="inlineStr">
        <is>
          <t>Caletilla → Las Playas</t>
        </is>
      </c>
      <c r="F17" s="7" t="inlineStr">
        <is>
          <t>Paso Texca</t>
        </is>
      </c>
      <c r="G17" s="9" t="n">
        <v>9.31</v>
      </c>
      <c r="H17" s="9" t="n">
        <v>26.13</v>
      </c>
      <c r="I17" s="10" t="n">
        <v>40.75</v>
      </c>
    </row>
    <row r="18">
      <c r="A18" s="21" t="inlineStr">
        <is>
          <t>Camión 03</t>
        </is>
      </c>
      <c r="B18" s="20" t="n"/>
      <c r="C18" s="12" t="inlineStr">
        <is>
          <t>SUBTOTAL (3 viajes)</t>
        </is>
      </c>
      <c r="D18" s="13" t="n"/>
      <c r="E18" s="13" t="n"/>
      <c r="F18" s="13" t="n"/>
      <c r="G18" s="14" t="n">
        <v>26.13</v>
      </c>
      <c r="H18" s="13" t="n"/>
      <c r="I18" s="15" t="n">
        <v>105.56</v>
      </c>
    </row>
    <row r="20" ht="18" customHeight="1">
      <c r="A20" s="22" t="inlineStr">
        <is>
          <t>Camión 04</t>
        </is>
      </c>
      <c r="B20" s="23" t="n"/>
      <c r="C20" s="6" t="inlineStr">
        <is>
          <t>Viaje 1</t>
        </is>
      </c>
      <c r="D20" s="7" t="inlineStr">
        <is>
          <t>Paso Texca</t>
        </is>
      </c>
      <c r="E20" s="8" t="inlineStr">
        <is>
          <t>Puerto Marques</t>
        </is>
      </c>
      <c r="F20" s="7" t="inlineStr">
        <is>
          <t>Paso Texca</t>
        </is>
      </c>
      <c r="G20" s="9" t="n">
        <v>9.43</v>
      </c>
      <c r="H20" s="9" t="n">
        <v>9.43</v>
      </c>
      <c r="I20" s="10" t="n">
        <v>43.6</v>
      </c>
    </row>
    <row r="21" ht="18" customHeight="1">
      <c r="A21" s="22" t="inlineStr">
        <is>
          <t>Camión 04</t>
        </is>
      </c>
      <c r="B21" s="23" t="n"/>
      <c r="C21" s="6" t="inlineStr">
        <is>
          <t>Viaje 2</t>
        </is>
      </c>
      <c r="D21" s="7" t="inlineStr">
        <is>
          <t>Paso Texca</t>
        </is>
      </c>
      <c r="E21" s="8" t="inlineStr">
        <is>
          <t>Progreso</t>
        </is>
      </c>
      <c r="F21" s="7" t="inlineStr">
        <is>
          <t>Paso Texca</t>
        </is>
      </c>
      <c r="G21" s="9" t="n">
        <v>9.07</v>
      </c>
      <c r="H21" s="9" t="n">
        <v>18.5</v>
      </c>
      <c r="I21" s="10" t="n">
        <v>30.34</v>
      </c>
    </row>
    <row r="22" ht="18" customHeight="1">
      <c r="A22" s="22" t="inlineStr">
        <is>
          <t>Camión 04</t>
        </is>
      </c>
      <c r="B22" s="23" t="n"/>
      <c r="C22" s="6" t="inlineStr">
        <is>
          <t>Viaje 3</t>
        </is>
      </c>
      <c r="D22" s="7" t="inlineStr">
        <is>
          <t>Paso Texca</t>
        </is>
      </c>
      <c r="E22" s="8" t="inlineStr">
        <is>
          <t>Llano Largo</t>
        </is>
      </c>
      <c r="F22" s="7" t="inlineStr">
        <is>
          <t>Paso Texca</t>
        </is>
      </c>
      <c r="G22" s="9" t="n">
        <v>7.73</v>
      </c>
      <c r="H22" s="9" t="n">
        <v>26.23</v>
      </c>
      <c r="I22" s="10" t="n">
        <v>18.36</v>
      </c>
    </row>
    <row r="23">
      <c r="A23" s="24" t="inlineStr">
        <is>
          <t>Camión 04</t>
        </is>
      </c>
      <c r="B23" s="23" t="n"/>
      <c r="C23" s="12" t="inlineStr">
        <is>
          <t>SUBTOTAL (3 viajes)</t>
        </is>
      </c>
      <c r="D23" s="13" t="n"/>
      <c r="E23" s="13" t="n"/>
      <c r="F23" s="13" t="n"/>
      <c r="G23" s="14" t="n">
        <v>26.23</v>
      </c>
      <c r="H23" s="13" t="n"/>
      <c r="I23" s="15" t="n">
        <v>92.3</v>
      </c>
    </row>
    <row r="25" ht="18" customHeight="1">
      <c r="A25" s="25" t="inlineStr">
        <is>
          <t>Camión 05</t>
        </is>
      </c>
      <c r="B25" s="26" t="n"/>
      <c r="C25" s="6" t="inlineStr">
        <is>
          <t>Viaje 1</t>
        </is>
      </c>
      <c r="D25" s="7" t="inlineStr">
        <is>
          <t>Paso Texca</t>
        </is>
      </c>
      <c r="E25" s="8" t="inlineStr">
        <is>
          <t>El Coloso II</t>
        </is>
      </c>
      <c r="F25" s="7" t="inlineStr">
        <is>
          <t>Paso Texca</t>
        </is>
      </c>
      <c r="G25" s="9" t="n">
        <v>6</v>
      </c>
      <c r="H25" s="9" t="n">
        <v>6</v>
      </c>
      <c r="I25" s="10" t="n">
        <v>32.42</v>
      </c>
    </row>
    <row r="26" ht="18" customHeight="1">
      <c r="A26" s="25" t="inlineStr">
        <is>
          <t>Camión 05</t>
        </is>
      </c>
      <c r="B26" s="26" t="n"/>
      <c r="C26" s="6" t="inlineStr">
        <is>
          <t>Viaje 2</t>
        </is>
      </c>
      <c r="D26" s="7" t="inlineStr">
        <is>
          <t>Paso Texca</t>
        </is>
      </c>
      <c r="E26" s="8" t="inlineStr">
        <is>
          <t>Vista Alegre</t>
        </is>
      </c>
      <c r="F26" s="7" t="inlineStr">
        <is>
          <t>Paso Texca</t>
        </is>
      </c>
      <c r="G26" s="9" t="n">
        <v>8.6</v>
      </c>
      <c r="H26" s="9" t="n">
        <v>14.6</v>
      </c>
      <c r="I26" s="10" t="n">
        <v>31.74</v>
      </c>
    </row>
    <row r="27" ht="18" customHeight="1">
      <c r="A27" s="25" t="inlineStr">
        <is>
          <t>Camión 05</t>
        </is>
      </c>
      <c r="B27" s="26" t="n"/>
      <c r="C27" s="6" t="inlineStr">
        <is>
          <t>Viaje 3</t>
        </is>
      </c>
      <c r="D27" s="7" t="inlineStr">
        <is>
          <t>Paso Texca</t>
        </is>
      </c>
      <c r="E27" s="8" t="inlineStr">
        <is>
          <t>Lomas de Chapultepec</t>
        </is>
      </c>
      <c r="F27" s="7" t="inlineStr">
        <is>
          <t>Paso Texca</t>
        </is>
      </c>
      <c r="G27" s="9" t="n">
        <v>8.82</v>
      </c>
      <c r="H27" s="9" t="n">
        <v>23.42</v>
      </c>
      <c r="I27" s="10" t="n">
        <v>36.27</v>
      </c>
    </row>
    <row r="28">
      <c r="A28" s="27" t="inlineStr">
        <is>
          <t>Camión 05</t>
        </is>
      </c>
      <c r="B28" s="26" t="n"/>
      <c r="C28" s="12" t="inlineStr">
        <is>
          <t>SUBTOTAL (3 viajes)</t>
        </is>
      </c>
      <c r="D28" s="13" t="n"/>
      <c r="E28" s="13" t="n"/>
      <c r="F28" s="13" t="n"/>
      <c r="G28" s="14" t="n">
        <v>23.42</v>
      </c>
      <c r="H28" s="13" t="n"/>
      <c r="I28" s="15" t="n">
        <v>100.43</v>
      </c>
    </row>
    <row r="30" ht="18" customHeight="1">
      <c r="A30" s="28" t="inlineStr">
        <is>
          <t>Camión 06</t>
        </is>
      </c>
      <c r="B30" s="29" t="n"/>
      <c r="C30" s="6" t="inlineStr">
        <is>
          <t>Viaje 1</t>
        </is>
      </c>
      <c r="D30" s="7" t="inlineStr">
        <is>
          <t>Paso Texca</t>
        </is>
      </c>
      <c r="E30" s="8" t="inlineStr">
        <is>
          <t>Icacos</t>
        </is>
      </c>
      <c r="F30" s="7" t="inlineStr">
        <is>
          <t>Paso Texca</t>
        </is>
      </c>
      <c r="G30" s="9" t="n">
        <v>7.88</v>
      </c>
      <c r="H30" s="9" t="n">
        <v>7.88</v>
      </c>
      <c r="I30" s="10" t="n">
        <v>36.18</v>
      </c>
    </row>
    <row r="31" ht="18" customHeight="1">
      <c r="A31" s="28" t="inlineStr">
        <is>
          <t>Camión 06</t>
        </is>
      </c>
      <c r="B31" s="29" t="n"/>
      <c r="C31" s="6" t="inlineStr">
        <is>
          <t>Viaje 2</t>
        </is>
      </c>
      <c r="D31" s="7" t="inlineStr">
        <is>
          <t>Paso Texca</t>
        </is>
      </c>
      <c r="E31" s="8" t="inlineStr">
        <is>
          <t>Las Cruces</t>
        </is>
      </c>
      <c r="F31" s="7" t="inlineStr">
        <is>
          <t>Paso Texca</t>
        </is>
      </c>
      <c r="G31" s="9" t="n">
        <v>7.15</v>
      </c>
      <c r="H31" s="9" t="n">
        <v>15.03</v>
      </c>
      <c r="I31" s="10" t="n">
        <v>25.28</v>
      </c>
    </row>
    <row r="32" ht="18" customHeight="1">
      <c r="A32" s="28" t="inlineStr">
        <is>
          <t>Camión 06</t>
        </is>
      </c>
      <c r="B32" s="29" t="n"/>
      <c r="C32" s="6" t="inlineStr">
        <is>
          <t>Viaje 3</t>
        </is>
      </c>
      <c r="D32" s="7" t="inlineStr">
        <is>
          <t>Paso Texca</t>
        </is>
      </c>
      <c r="E32" s="8" t="inlineStr">
        <is>
          <t>Alta Progreso</t>
        </is>
      </c>
      <c r="F32" s="7" t="inlineStr">
        <is>
          <t>Paso Texca</t>
        </is>
      </c>
      <c r="G32" s="9" t="n">
        <v>6.23</v>
      </c>
      <c r="H32" s="9" t="n">
        <v>21.26</v>
      </c>
      <c r="I32" s="10" t="n">
        <v>24.5</v>
      </c>
    </row>
    <row r="33">
      <c r="A33" s="30" t="inlineStr">
        <is>
          <t>Camión 06</t>
        </is>
      </c>
      <c r="B33" s="29" t="n"/>
      <c r="C33" s="12" t="inlineStr">
        <is>
          <t>SUBTOTAL (3 viajes)</t>
        </is>
      </c>
      <c r="D33" s="13" t="n"/>
      <c r="E33" s="13" t="n"/>
      <c r="F33" s="13" t="n"/>
      <c r="G33" s="14" t="n">
        <v>21.26</v>
      </c>
      <c r="H33" s="13" t="n"/>
      <c r="I33" s="15" t="n">
        <v>85.95999999999999</v>
      </c>
    </row>
    <row r="35" ht="18" customHeight="1">
      <c r="A35" s="31" t="inlineStr">
        <is>
          <t>Camión 07</t>
        </is>
      </c>
      <c r="B35" s="32" t="n"/>
      <c r="C35" s="6" t="inlineStr">
        <is>
          <t>Viaje 1</t>
        </is>
      </c>
      <c r="D35" s="7" t="inlineStr">
        <is>
          <t>Paso Texca</t>
        </is>
      </c>
      <c r="E35" s="8" t="inlineStr">
        <is>
          <t>Morelos</t>
        </is>
      </c>
      <c r="F35" s="7" t="inlineStr">
        <is>
          <t>Paso Texca</t>
        </is>
      </c>
      <c r="G35" s="9" t="n">
        <v>8.17</v>
      </c>
      <c r="H35" s="9" t="n">
        <v>8.17</v>
      </c>
      <c r="I35" s="10" t="n">
        <v>29.38</v>
      </c>
    </row>
    <row r="36" ht="22" customHeight="1">
      <c r="A36" s="31" t="inlineStr">
        <is>
          <t>Camión 07</t>
        </is>
      </c>
      <c r="B36" s="32" t="n"/>
      <c r="C36" s="6" t="inlineStr">
        <is>
          <t>Viaje 2</t>
        </is>
      </c>
      <c r="D36" s="7" t="inlineStr">
        <is>
          <t>Paso Texca</t>
        </is>
      </c>
      <c r="E36" s="8" t="inlineStr">
        <is>
          <t>Mozimba → Pie de la Cuesta</t>
        </is>
      </c>
      <c r="F36" s="7" t="inlineStr">
        <is>
          <t>Paso Texca</t>
        </is>
      </c>
      <c r="G36" s="9" t="n">
        <v>9.970000000000001</v>
      </c>
      <c r="H36" s="9" t="n">
        <v>18.14</v>
      </c>
      <c r="I36" s="10" t="n">
        <v>36.61</v>
      </c>
    </row>
    <row r="37" ht="18" customHeight="1">
      <c r="A37" s="31" t="inlineStr">
        <is>
          <t>Camión 07</t>
        </is>
      </c>
      <c r="B37" s="32" t="n"/>
      <c r="C37" s="6" t="inlineStr">
        <is>
          <t>Viaje 3</t>
        </is>
      </c>
      <c r="D37" s="7" t="inlineStr">
        <is>
          <t>Paso Texca</t>
        </is>
      </c>
      <c r="E37" s="8" t="inlineStr">
        <is>
          <t>La Laja</t>
        </is>
      </c>
      <c r="F37" s="7" t="inlineStr">
        <is>
          <t>Paso Texca</t>
        </is>
      </c>
      <c r="G37" s="9" t="n">
        <v>9.52</v>
      </c>
      <c r="H37" s="9" t="n">
        <v>27.66</v>
      </c>
      <c r="I37" s="10" t="n">
        <v>18.36</v>
      </c>
    </row>
    <row r="38">
      <c r="A38" s="33" t="inlineStr">
        <is>
          <t>Camión 07</t>
        </is>
      </c>
      <c r="B38" s="32" t="n"/>
      <c r="C38" s="12" t="inlineStr">
        <is>
          <t>SUBTOTAL (3 viajes)</t>
        </is>
      </c>
      <c r="D38" s="13" t="n"/>
      <c r="E38" s="13" t="n"/>
      <c r="F38" s="13" t="n"/>
      <c r="G38" s="14" t="n">
        <v>27.66</v>
      </c>
      <c r="H38" s="13" t="n"/>
      <c r="I38" s="15" t="n">
        <v>84.34999999999999</v>
      </c>
    </row>
    <row r="40" ht="18" customHeight="1">
      <c r="A40" s="34" t="inlineStr">
        <is>
          <t>Camión 08</t>
        </is>
      </c>
      <c r="B40" s="35" t="n"/>
      <c r="C40" s="6" t="inlineStr">
        <is>
          <t>Viaje 1</t>
        </is>
      </c>
      <c r="D40" s="7" t="inlineStr">
        <is>
          <t>Paso Texca</t>
        </is>
      </c>
      <c r="E40" s="8" t="inlineStr">
        <is>
          <t>Garita</t>
        </is>
      </c>
      <c r="F40" s="7" t="inlineStr">
        <is>
          <t>Paso Texca</t>
        </is>
      </c>
      <c r="G40" s="9" t="n">
        <v>6.93</v>
      </c>
      <c r="H40" s="9" t="n">
        <v>6.93</v>
      </c>
      <c r="I40" s="10" t="n">
        <v>32.55</v>
      </c>
    </row>
    <row r="41" ht="18" customHeight="1">
      <c r="A41" s="34" t="inlineStr">
        <is>
          <t>Camión 08</t>
        </is>
      </c>
      <c r="B41" s="35" t="n"/>
      <c r="C41" s="6" t="inlineStr">
        <is>
          <t>Viaje 2</t>
        </is>
      </c>
      <c r="D41" s="7" t="inlineStr">
        <is>
          <t>Paso Texca</t>
        </is>
      </c>
      <c r="E41" s="8" t="inlineStr">
        <is>
          <t>Bella Vista</t>
        </is>
      </c>
      <c r="F41" s="7" t="inlineStr">
        <is>
          <t>Paso Texca</t>
        </is>
      </c>
      <c r="G41" s="9" t="n">
        <v>7.48</v>
      </c>
      <c r="H41" s="9" t="n">
        <v>14.41</v>
      </c>
      <c r="I41" s="10" t="n">
        <v>32.18</v>
      </c>
    </row>
    <row r="42" ht="18" customHeight="1">
      <c r="A42" s="34" t="inlineStr">
        <is>
          <t>Camión 08</t>
        </is>
      </c>
      <c r="B42" s="35" t="n"/>
      <c r="C42" s="6" t="inlineStr">
        <is>
          <t>Viaje 3</t>
        </is>
      </c>
      <c r="D42" s="7" t="inlineStr">
        <is>
          <t>Paso Texca</t>
        </is>
      </c>
      <c r="E42" s="8" t="inlineStr">
        <is>
          <t>Jardin Azteca</t>
        </is>
      </c>
      <c r="F42" s="7" t="inlineStr">
        <is>
          <t>Paso Texca</t>
        </is>
      </c>
      <c r="G42" s="9" t="n">
        <v>7.4</v>
      </c>
      <c r="H42" s="9" t="n">
        <v>21.81</v>
      </c>
      <c r="I42" s="10" t="n">
        <v>29.06</v>
      </c>
    </row>
    <row r="43">
      <c r="A43" s="36" t="inlineStr">
        <is>
          <t>Camión 08</t>
        </is>
      </c>
      <c r="B43" s="35" t="n"/>
      <c r="C43" s="12" t="inlineStr">
        <is>
          <t>SUBTOTAL (3 viajes)</t>
        </is>
      </c>
      <c r="D43" s="13" t="n"/>
      <c r="E43" s="13" t="n"/>
      <c r="F43" s="13" t="n"/>
      <c r="G43" s="14" t="n">
        <v>21.81</v>
      </c>
      <c r="H43" s="13" t="n"/>
      <c r="I43" s="15" t="n">
        <v>93.79000000000001</v>
      </c>
    </row>
    <row r="45" ht="18" customHeight="1">
      <c r="A45" s="37" t="inlineStr">
        <is>
          <t>Camión 09</t>
        </is>
      </c>
      <c r="B45" s="38" t="n"/>
      <c r="C45" s="6" t="inlineStr">
        <is>
          <t>Viaje 1</t>
        </is>
      </c>
      <c r="D45" s="7" t="inlineStr">
        <is>
          <t>Paso Texca</t>
        </is>
      </c>
      <c r="E45" s="8" t="inlineStr">
        <is>
          <t>Caleta</t>
        </is>
      </c>
      <c r="F45" s="7" t="inlineStr">
        <is>
          <t>Paso Texca</t>
        </is>
      </c>
      <c r="G45" s="9" t="n">
        <v>6.47</v>
      </c>
      <c r="H45" s="9" t="n">
        <v>6.47</v>
      </c>
      <c r="I45" s="10" t="n">
        <v>36.93</v>
      </c>
    </row>
    <row r="46" ht="18" customHeight="1">
      <c r="A46" s="37" t="inlineStr">
        <is>
          <t>Camión 09</t>
        </is>
      </c>
      <c r="B46" s="38" t="n"/>
      <c r="C46" s="6" t="inlineStr">
        <is>
          <t>Viaje 2</t>
        </is>
      </c>
      <c r="D46" s="7" t="inlineStr">
        <is>
          <t>Paso Texca</t>
        </is>
      </c>
      <c r="E46" s="8" t="inlineStr">
        <is>
          <t>Santa Cruz</t>
        </is>
      </c>
      <c r="F46" s="7" t="inlineStr">
        <is>
          <t>Paso Texca</t>
        </is>
      </c>
      <c r="G46" s="9" t="n">
        <v>7.19</v>
      </c>
      <c r="H46" s="9" t="n">
        <v>13.66</v>
      </c>
      <c r="I46" s="10" t="n">
        <v>37.46</v>
      </c>
    </row>
    <row r="47" ht="18" customHeight="1">
      <c r="A47" s="37" t="inlineStr">
        <is>
          <t>Camión 09</t>
        </is>
      </c>
      <c r="B47" s="38" t="n"/>
      <c r="C47" s="6" t="inlineStr">
        <is>
          <t>Viaje 3</t>
        </is>
      </c>
      <c r="D47" s="7" t="inlineStr">
        <is>
          <t>Paso Texca</t>
        </is>
      </c>
      <c r="E47" s="8" t="inlineStr">
        <is>
          <t>Cumbres de Figueroa</t>
        </is>
      </c>
      <c r="F47" s="7" t="inlineStr">
        <is>
          <t>Paso Texca</t>
        </is>
      </c>
      <c r="G47" s="9" t="n">
        <v>8.59</v>
      </c>
      <c r="H47" s="9" t="n">
        <v>22.25</v>
      </c>
      <c r="I47" s="10" t="n">
        <v>34.29</v>
      </c>
    </row>
    <row r="48">
      <c r="A48" s="39" t="inlineStr">
        <is>
          <t>Camión 09</t>
        </is>
      </c>
      <c r="B48" s="38" t="n"/>
      <c r="C48" s="12" t="inlineStr">
        <is>
          <t>SUBTOTAL (3 viajes)</t>
        </is>
      </c>
      <c r="D48" s="13" t="n"/>
      <c r="E48" s="13" t="n"/>
      <c r="F48" s="13" t="n"/>
      <c r="G48" s="14" t="n">
        <v>22.25</v>
      </c>
      <c r="H48" s="13" t="n"/>
      <c r="I48" s="15" t="n">
        <v>108.68</v>
      </c>
    </row>
    <row r="50" ht="18" customHeight="1">
      <c r="A50" s="40" t="inlineStr">
        <is>
          <t>Camión 10</t>
        </is>
      </c>
      <c r="B50" s="41" t="n"/>
      <c r="C50" s="6" t="inlineStr">
        <is>
          <t>Viaje 1</t>
        </is>
      </c>
      <c r="D50" s="7" t="inlineStr">
        <is>
          <t>Paso Texca</t>
        </is>
      </c>
      <c r="E50" s="8" t="inlineStr">
        <is>
          <t>Cuauhtemoc</t>
        </is>
      </c>
      <c r="F50" s="7" t="inlineStr">
        <is>
          <t>Paso Texca</t>
        </is>
      </c>
      <c r="G50" s="9" t="n">
        <v>7.1</v>
      </c>
      <c r="H50" s="9" t="n">
        <v>7.1</v>
      </c>
      <c r="I50" s="10" t="n">
        <v>29.37</v>
      </c>
    </row>
    <row r="51" ht="18" customHeight="1">
      <c r="A51" s="40" t="inlineStr">
        <is>
          <t>Camión 10</t>
        </is>
      </c>
      <c r="B51" s="41" t="n"/>
      <c r="C51" s="6" t="inlineStr">
        <is>
          <t>Viaje 2</t>
        </is>
      </c>
      <c r="D51" s="7" t="inlineStr">
        <is>
          <t>Paso Texca</t>
        </is>
      </c>
      <c r="E51" s="8" t="inlineStr">
        <is>
          <t>La Mira</t>
        </is>
      </c>
      <c r="F51" s="7" t="inlineStr">
        <is>
          <t>Paso Texca</t>
        </is>
      </c>
      <c r="G51" s="9" t="n">
        <v>6.02</v>
      </c>
      <c r="H51" s="9" t="n">
        <v>13.12</v>
      </c>
      <c r="I51" s="10" t="n">
        <v>35.3</v>
      </c>
    </row>
    <row r="52" ht="18" customHeight="1">
      <c r="A52" s="40" t="inlineStr">
        <is>
          <t>Camión 10</t>
        </is>
      </c>
      <c r="B52" s="41" t="n"/>
      <c r="C52" s="6" t="inlineStr">
        <is>
          <t>Viaje 3</t>
        </is>
      </c>
      <c r="D52" s="7" t="inlineStr">
        <is>
          <t>Paso Texca</t>
        </is>
      </c>
      <c r="E52" s="8" t="inlineStr">
        <is>
          <t>Centro</t>
        </is>
      </c>
      <c r="F52" s="7" t="inlineStr">
        <is>
          <t>Paso Texca</t>
        </is>
      </c>
      <c r="G52" s="9" t="n">
        <v>7.67</v>
      </c>
      <c r="H52" s="9" t="n">
        <v>20.79</v>
      </c>
      <c r="I52" s="10" t="n">
        <v>30.23</v>
      </c>
    </row>
    <row r="53">
      <c r="A53" s="42" t="inlineStr">
        <is>
          <t>Camión 10</t>
        </is>
      </c>
      <c r="B53" s="41" t="n"/>
      <c r="C53" s="12" t="inlineStr">
        <is>
          <t>SUBTOTAL (3 viajes)</t>
        </is>
      </c>
      <c r="D53" s="13" t="n"/>
      <c r="E53" s="13" t="n"/>
      <c r="F53" s="13" t="n"/>
      <c r="G53" s="14" t="n">
        <v>20.79</v>
      </c>
      <c r="H53" s="13" t="n"/>
      <c r="I53" s="15" t="n">
        <v>94.90000000000001</v>
      </c>
    </row>
    <row r="55" ht="22" customHeight="1">
      <c r="A55" s="43" t="inlineStr">
        <is>
          <t>Camión 11</t>
        </is>
      </c>
      <c r="B55" s="44" t="n"/>
      <c r="C55" s="6" t="inlineStr">
        <is>
          <t>Viaje 1</t>
        </is>
      </c>
      <c r="D55" s="7" t="inlineStr">
        <is>
          <t>Paso Texca</t>
        </is>
      </c>
      <c r="E55" s="8" t="inlineStr">
        <is>
          <t>Ciudad San Agustin → Pedregoso</t>
        </is>
      </c>
      <c r="F55" s="7" t="inlineStr">
        <is>
          <t>Paso Texca</t>
        </is>
      </c>
      <c r="G55" s="9" t="n">
        <v>9.33</v>
      </c>
      <c r="H55" s="9" t="n">
        <v>9.33</v>
      </c>
      <c r="I55" s="10" t="n">
        <v>29.23</v>
      </c>
    </row>
    <row r="56">
      <c r="A56" s="45" t="inlineStr">
        <is>
          <t>Camión 11</t>
        </is>
      </c>
      <c r="B56" s="44" t="n"/>
      <c r="C56" s="12" t="inlineStr">
        <is>
          <t>SUBTOTAL (1 viaje)</t>
        </is>
      </c>
      <c r="D56" s="13" t="n"/>
      <c r="E56" s="13" t="n"/>
      <c r="F56" s="13" t="n"/>
      <c r="G56" s="14" t="n">
        <v>9.33</v>
      </c>
      <c r="H56" s="13" t="n"/>
      <c r="I56" s="15" t="n">
        <v>29.23</v>
      </c>
    </row>
    <row r="58" ht="24" customHeight="1">
      <c r="A58" s="46" t="inlineStr">
        <is>
          <t>31 viajes</t>
        </is>
      </c>
      <c r="B58" s="47" t="n"/>
      <c r="C58" s="48" t="inlineStr">
        <is>
          <t>GRAN TOTAL</t>
        </is>
      </c>
      <c r="D58" s="46" t="inlineStr">
        <is>
          <t>11 camiones activos</t>
        </is>
      </c>
      <c r="E58" s="47" t="n"/>
      <c r="F58" s="47" t="n"/>
      <c r="G58" s="49" t="n">
        <v>250</v>
      </c>
      <c r="H58" s="47" t="n"/>
      <c r="I58" s="50" t="n">
        <v>983.8099999999999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2" customWidth="1" min="5" max="5"/>
    <col width="14" customWidth="1" min="6" max="6"/>
  </cols>
  <sheetData>
    <row r="1" ht="30" customHeight="1">
      <c r="A1" s="51" t="inlineStr">
        <is>
          <t>Dashboard — Resumen por camión</t>
        </is>
      </c>
    </row>
    <row r="2">
      <c r="A2" s="52" t="inlineStr">
        <is>
          <t>Camión</t>
        </is>
      </c>
      <c r="B2" s="52" t="inlineStr">
        <is>
          <t>Viajes</t>
        </is>
      </c>
      <c r="C2" s="52" t="inlineStr">
        <is>
          <t>Ton. total</t>
        </is>
      </c>
      <c r="D2" s="52" t="inlineStr">
        <is>
          <t>Km total</t>
        </is>
      </c>
      <c r="E2" s="52" t="inlineStr">
        <is>
          <t>% Basura</t>
        </is>
      </c>
      <c r="F2" s="52" t="inlineStr">
        <is>
          <t>Estado</t>
        </is>
      </c>
    </row>
    <row r="3">
      <c r="A3" s="53" t="inlineStr">
        <is>
          <t>Camión 01</t>
        </is>
      </c>
      <c r="B3" s="54" t="n">
        <v>3</v>
      </c>
      <c r="C3" s="55" t="n">
        <v>28.23</v>
      </c>
      <c r="D3" s="56" t="n">
        <v>97.3</v>
      </c>
      <c r="E3" s="57" t="n">
        <v>0.113</v>
      </c>
      <c r="F3" s="54" t="inlineStr">
        <is>
          <t>🟢 Completo</t>
        </is>
      </c>
    </row>
    <row r="4">
      <c r="A4" s="58" t="inlineStr">
        <is>
          <t>Camión 02</t>
        </is>
      </c>
      <c r="B4" s="59" t="n">
        <v>3</v>
      </c>
      <c r="C4" s="60" t="n">
        <v>22.89</v>
      </c>
      <c r="D4" s="61" t="n">
        <v>91.31</v>
      </c>
      <c r="E4" s="62" t="n">
        <v>0.092</v>
      </c>
      <c r="F4" s="59" t="inlineStr">
        <is>
          <t>🟢 Completo</t>
        </is>
      </c>
    </row>
    <row r="5">
      <c r="A5" s="63" t="inlineStr">
        <is>
          <t>Camión 03</t>
        </is>
      </c>
      <c r="B5" s="54" t="n">
        <v>3</v>
      </c>
      <c r="C5" s="55" t="n">
        <v>26.13</v>
      </c>
      <c r="D5" s="56" t="n">
        <v>105.56</v>
      </c>
      <c r="E5" s="57" t="n">
        <v>0.105</v>
      </c>
      <c r="F5" s="54" t="inlineStr">
        <is>
          <t>🟢 Completo</t>
        </is>
      </c>
    </row>
    <row r="6">
      <c r="A6" s="64" t="inlineStr">
        <is>
          <t>Camión 04</t>
        </is>
      </c>
      <c r="B6" s="59" t="n">
        <v>3</v>
      </c>
      <c r="C6" s="60" t="n">
        <v>26.23</v>
      </c>
      <c r="D6" s="61" t="n">
        <v>92.3</v>
      </c>
      <c r="E6" s="62" t="n">
        <v>0.105</v>
      </c>
      <c r="F6" s="59" t="inlineStr">
        <is>
          <t>🟢 Completo</t>
        </is>
      </c>
    </row>
    <row r="7">
      <c r="A7" s="65" t="inlineStr">
        <is>
          <t>Camión 05</t>
        </is>
      </c>
      <c r="B7" s="54" t="n">
        <v>3</v>
      </c>
      <c r="C7" s="55" t="n">
        <v>23.42</v>
      </c>
      <c r="D7" s="56" t="n">
        <v>100.43</v>
      </c>
      <c r="E7" s="57" t="n">
        <v>0.094</v>
      </c>
      <c r="F7" s="54" t="inlineStr">
        <is>
          <t>🟢 Completo</t>
        </is>
      </c>
    </row>
    <row r="8">
      <c r="A8" s="66" t="inlineStr">
        <is>
          <t>Camión 06</t>
        </is>
      </c>
      <c r="B8" s="59" t="n">
        <v>3</v>
      </c>
      <c r="C8" s="60" t="n">
        <v>21.26</v>
      </c>
      <c r="D8" s="61" t="n">
        <v>85.95999999999999</v>
      </c>
      <c r="E8" s="62" t="n">
        <v>0.08500000000000001</v>
      </c>
      <c r="F8" s="59" t="inlineStr">
        <is>
          <t>🟢 Completo</t>
        </is>
      </c>
    </row>
    <row r="9">
      <c r="A9" s="67" t="inlineStr">
        <is>
          <t>Camión 07</t>
        </is>
      </c>
      <c r="B9" s="54" t="n">
        <v>3</v>
      </c>
      <c r="C9" s="55" t="n">
        <v>27.66</v>
      </c>
      <c r="D9" s="56" t="n">
        <v>84.34999999999999</v>
      </c>
      <c r="E9" s="57" t="n">
        <v>0.111</v>
      </c>
      <c r="F9" s="54" t="inlineStr">
        <is>
          <t>🟢 Completo</t>
        </is>
      </c>
    </row>
    <row r="10">
      <c r="A10" s="68" t="inlineStr">
        <is>
          <t>Camión 08</t>
        </is>
      </c>
      <c r="B10" s="59" t="n">
        <v>3</v>
      </c>
      <c r="C10" s="60" t="n">
        <v>21.81</v>
      </c>
      <c r="D10" s="61" t="n">
        <v>93.79000000000001</v>
      </c>
      <c r="E10" s="62" t="n">
        <v>0.08699999999999999</v>
      </c>
      <c r="F10" s="59" t="inlineStr">
        <is>
          <t>🟢 Completo</t>
        </is>
      </c>
    </row>
    <row r="11">
      <c r="A11" s="69" t="inlineStr">
        <is>
          <t>Camión 09</t>
        </is>
      </c>
      <c r="B11" s="54" t="n">
        <v>3</v>
      </c>
      <c r="C11" s="55" t="n">
        <v>22.25</v>
      </c>
      <c r="D11" s="56" t="n">
        <v>108.68</v>
      </c>
      <c r="E11" s="57" t="n">
        <v>0.08900000000000001</v>
      </c>
      <c r="F11" s="54" t="inlineStr">
        <is>
          <t>🟢 Completo</t>
        </is>
      </c>
    </row>
    <row r="12">
      <c r="A12" s="70" t="inlineStr">
        <is>
          <t>Camión 10</t>
        </is>
      </c>
      <c r="B12" s="59" t="n">
        <v>3</v>
      </c>
      <c r="C12" s="60" t="n">
        <v>20.79</v>
      </c>
      <c r="D12" s="61" t="n">
        <v>94.90000000000001</v>
      </c>
      <c r="E12" s="62" t="n">
        <v>0.083</v>
      </c>
      <c r="F12" s="59" t="inlineStr">
        <is>
          <t>🟢 Completo</t>
        </is>
      </c>
    </row>
    <row r="13">
      <c r="A13" s="71" t="inlineStr">
        <is>
          <t>Camión 11</t>
        </is>
      </c>
      <c r="B13" s="54" t="n">
        <v>1</v>
      </c>
      <c r="C13" s="55" t="n">
        <v>9.33</v>
      </c>
      <c r="D13" s="56" t="n">
        <v>29.23</v>
      </c>
      <c r="E13" s="57" t="n">
        <v>0.03700000000000001</v>
      </c>
      <c r="F13" s="54" t="inlineStr">
        <is>
          <t>🟡 Parcial</t>
        </is>
      </c>
    </row>
    <row r="15">
      <c r="A15" s="72" t="inlineStr">
        <is>
          <t>TOTAL</t>
        </is>
      </c>
      <c r="B15" s="72" t="n">
        <v>31</v>
      </c>
      <c r="C15" s="73" t="n">
        <v>250</v>
      </c>
      <c r="D15" s="74" t="n">
        <v>983.8099999999999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</cols>
  <sheetData>
    <row r="1" ht="24" customHeight="1">
      <c r="A1" s="75" t="inlineStr">
        <is>
          <t>Demanda de basura por colonia</t>
        </is>
      </c>
    </row>
    <row r="2">
      <c r="A2" s="52" t="inlineStr">
        <is>
          <t>#</t>
        </is>
      </c>
      <c r="B2" s="52" t="inlineStr">
        <is>
          <t>Colonia</t>
        </is>
      </c>
      <c r="C2" s="52" t="inlineStr">
        <is>
          <t>Toneladas (t)</t>
        </is>
      </c>
    </row>
    <row r="3">
      <c r="A3" s="54" t="n">
        <v>1</v>
      </c>
      <c r="B3" s="76" t="inlineStr">
        <is>
          <t>Centro</t>
        </is>
      </c>
      <c r="C3" s="77" t="n">
        <v>7.67</v>
      </c>
    </row>
    <row r="4">
      <c r="A4" s="78" t="n">
        <v>2</v>
      </c>
      <c r="B4" s="79" t="inlineStr">
        <is>
          <t>Renacimiento</t>
        </is>
      </c>
      <c r="C4" s="80" t="n">
        <v>4.28</v>
      </c>
    </row>
    <row r="5">
      <c r="A5" s="54" t="n">
        <v>3</v>
      </c>
      <c r="B5" s="76" t="inlineStr">
        <is>
          <t>Zapata</t>
        </is>
      </c>
      <c r="C5" s="77" t="n">
        <v>5.66</v>
      </c>
    </row>
    <row r="6">
      <c r="A6" s="78" t="n">
        <v>4</v>
      </c>
      <c r="B6" s="79" t="inlineStr">
        <is>
          <t>Coloso</t>
        </is>
      </c>
      <c r="C6" s="80" t="n">
        <v>5.37</v>
      </c>
    </row>
    <row r="7">
      <c r="A7" s="54" t="n">
        <v>5</v>
      </c>
      <c r="B7" s="76" t="inlineStr">
        <is>
          <t>Costa Azul</t>
        </is>
      </c>
      <c r="C7" s="77" t="n">
        <v>8.210000000000001</v>
      </c>
    </row>
    <row r="8">
      <c r="A8" s="78" t="n">
        <v>6</v>
      </c>
      <c r="B8" s="79" t="inlineStr">
        <is>
          <t>Icacos</t>
        </is>
      </c>
      <c r="C8" s="80" t="n">
        <v>7.88</v>
      </c>
    </row>
    <row r="9">
      <c r="A9" s="54" t="n">
        <v>7</v>
      </c>
      <c r="B9" s="76" t="inlineStr">
        <is>
          <t>Progreso</t>
        </is>
      </c>
      <c r="C9" s="77" t="n">
        <v>9.07</v>
      </c>
    </row>
    <row r="10">
      <c r="A10" s="78" t="n">
        <v>8</v>
      </c>
      <c r="B10" s="79" t="inlineStr">
        <is>
          <t>Mozimba</t>
        </is>
      </c>
      <c r="C10" s="80" t="n">
        <v>4.62</v>
      </c>
    </row>
    <row r="11">
      <c r="A11" s="54" t="n">
        <v>9</v>
      </c>
      <c r="B11" s="76" t="inlineStr">
        <is>
          <t>Caleta</t>
        </is>
      </c>
      <c r="C11" s="77" t="n">
        <v>6.47</v>
      </c>
    </row>
    <row r="12">
      <c r="A12" s="78" t="n">
        <v>10</v>
      </c>
      <c r="B12" s="79" t="inlineStr">
        <is>
          <t>Caletilla</t>
        </is>
      </c>
      <c r="C12" s="80" t="n">
        <v>4.31</v>
      </c>
    </row>
    <row r="13">
      <c r="A13" s="54" t="n">
        <v>11</v>
      </c>
      <c r="B13" s="76" t="inlineStr">
        <is>
          <t>Pie de la Cuesta</t>
        </is>
      </c>
      <c r="C13" s="77" t="n">
        <v>5.35</v>
      </c>
    </row>
    <row r="14">
      <c r="A14" s="78" t="n">
        <v>12</v>
      </c>
      <c r="B14" s="79" t="inlineStr">
        <is>
          <t>Garita</t>
        </is>
      </c>
      <c r="C14" s="80" t="n">
        <v>6.93</v>
      </c>
    </row>
    <row r="15">
      <c r="A15" s="54" t="n">
        <v>13</v>
      </c>
      <c r="B15" s="76" t="inlineStr">
        <is>
          <t>Hornos</t>
        </is>
      </c>
      <c r="C15" s="77" t="n">
        <v>4.29</v>
      </c>
    </row>
    <row r="16">
      <c r="A16" s="78" t="n">
        <v>14</v>
      </c>
      <c r="B16" s="79" t="inlineStr">
        <is>
          <t>La Sabana</t>
        </is>
      </c>
      <c r="C16" s="80" t="n">
        <v>5.24</v>
      </c>
    </row>
    <row r="17">
      <c r="A17" s="54" t="n">
        <v>15</v>
      </c>
      <c r="B17" s="76" t="inlineStr">
        <is>
          <t>Llano Largo</t>
        </is>
      </c>
      <c r="C17" s="77" t="n">
        <v>7.73</v>
      </c>
    </row>
    <row r="18">
      <c r="A18" s="78" t="n">
        <v>16</v>
      </c>
      <c r="B18" s="79" t="inlineStr">
        <is>
          <t>Las Cruces</t>
        </is>
      </c>
      <c r="C18" s="80" t="n">
        <v>7.15</v>
      </c>
    </row>
    <row r="19">
      <c r="A19" s="54" t="n">
        <v>17</v>
      </c>
      <c r="B19" s="76" t="inlineStr">
        <is>
          <t>Emiliano Zapata</t>
        </is>
      </c>
      <c r="C19" s="77" t="n">
        <v>5.36</v>
      </c>
    </row>
    <row r="20">
      <c r="A20" s="78" t="n">
        <v>18</v>
      </c>
      <c r="B20" s="79" t="inlineStr">
        <is>
          <t>Jardin Azteca</t>
        </is>
      </c>
      <c r="C20" s="80" t="n">
        <v>7.4</v>
      </c>
    </row>
    <row r="21">
      <c r="A21" s="54" t="n">
        <v>19</v>
      </c>
      <c r="B21" s="76" t="inlineStr">
        <is>
          <t>Jardin Mangos</t>
        </is>
      </c>
      <c r="C21" s="77" t="n">
        <v>8.609999999999999</v>
      </c>
    </row>
    <row r="22">
      <c r="A22" s="78" t="n">
        <v>20</v>
      </c>
      <c r="B22" s="79" t="inlineStr">
        <is>
          <t>Jardin Palmas</t>
        </is>
      </c>
      <c r="C22" s="80" t="n">
        <v>4.18</v>
      </c>
    </row>
    <row r="23">
      <c r="A23" s="54" t="n">
        <v>21</v>
      </c>
      <c r="B23" s="76" t="inlineStr">
        <is>
          <t>Cumbres de Figueroa</t>
        </is>
      </c>
      <c r="C23" s="77" t="n">
        <v>8.59</v>
      </c>
    </row>
    <row r="24">
      <c r="A24" s="78" t="n">
        <v>22</v>
      </c>
      <c r="B24" s="79" t="inlineStr">
        <is>
          <t>Farallon</t>
        </is>
      </c>
      <c r="C24" s="80" t="n">
        <v>8</v>
      </c>
    </row>
    <row r="25">
      <c r="A25" s="54" t="n">
        <v>23</v>
      </c>
      <c r="B25" s="76" t="inlineStr">
        <is>
          <t>La Mira</t>
        </is>
      </c>
      <c r="C25" s="77" t="n">
        <v>6.02</v>
      </c>
    </row>
    <row r="26">
      <c r="A26" s="78" t="n">
        <v>24</v>
      </c>
      <c r="B26" s="79" t="inlineStr">
        <is>
          <t>Las Playas</t>
        </is>
      </c>
      <c r="C26" s="80" t="n">
        <v>5</v>
      </c>
    </row>
    <row r="27">
      <c r="A27" s="54" t="n">
        <v>25</v>
      </c>
      <c r="B27" s="76" t="inlineStr">
        <is>
          <t>Puerto Marques</t>
        </is>
      </c>
      <c r="C27" s="77" t="n">
        <v>9.43</v>
      </c>
    </row>
    <row r="28">
      <c r="A28" s="78" t="n">
        <v>26</v>
      </c>
      <c r="B28" s="79" t="inlineStr">
        <is>
          <t>El Coloso II</t>
        </is>
      </c>
      <c r="C28" s="80" t="n">
        <v>6</v>
      </c>
    </row>
    <row r="29">
      <c r="A29" s="54" t="n">
        <v>27</v>
      </c>
      <c r="B29" s="76" t="inlineStr">
        <is>
          <t>Ciudad San Agustin</t>
        </is>
      </c>
      <c r="C29" s="77" t="n">
        <v>4.65</v>
      </c>
    </row>
    <row r="30">
      <c r="A30" s="78" t="n">
        <v>28</v>
      </c>
      <c r="B30" s="79" t="inlineStr">
        <is>
          <t>Pedregoso</t>
        </is>
      </c>
      <c r="C30" s="80" t="n">
        <v>4.68</v>
      </c>
    </row>
    <row r="31">
      <c r="A31" s="54" t="n">
        <v>29</v>
      </c>
      <c r="B31" s="76" t="inlineStr">
        <is>
          <t>Lomas de Chapultepec</t>
        </is>
      </c>
      <c r="C31" s="77" t="n">
        <v>8.82</v>
      </c>
    </row>
    <row r="32">
      <c r="A32" s="78" t="n">
        <v>30</v>
      </c>
      <c r="B32" s="79" t="inlineStr">
        <is>
          <t>Bella Vista</t>
        </is>
      </c>
      <c r="C32" s="80" t="n">
        <v>7.48</v>
      </c>
    </row>
    <row r="33">
      <c r="A33" s="54" t="n">
        <v>31</v>
      </c>
      <c r="B33" s="76" t="inlineStr">
        <is>
          <t>Vista Alegre</t>
        </is>
      </c>
      <c r="C33" s="77" t="n">
        <v>8.6</v>
      </c>
    </row>
    <row r="34">
      <c r="A34" s="78" t="n">
        <v>32</v>
      </c>
      <c r="B34" s="79" t="inlineStr">
        <is>
          <t>Morelos</t>
        </is>
      </c>
      <c r="C34" s="80" t="n">
        <v>8.17</v>
      </c>
    </row>
    <row r="35">
      <c r="A35" s="54" t="n">
        <v>33</v>
      </c>
      <c r="B35" s="76" t="inlineStr">
        <is>
          <t>Cuauhtemoc</t>
        </is>
      </c>
      <c r="C35" s="77" t="n">
        <v>7.1</v>
      </c>
    </row>
    <row r="36">
      <c r="A36" s="78" t="n">
        <v>34</v>
      </c>
      <c r="B36" s="79" t="inlineStr">
        <is>
          <t>La Laja</t>
        </is>
      </c>
      <c r="C36" s="80" t="n">
        <v>9.52</v>
      </c>
    </row>
    <row r="37">
      <c r="A37" s="54" t="n">
        <v>35</v>
      </c>
      <c r="B37" s="76" t="inlineStr">
        <is>
          <t>Alta Progreso</t>
        </is>
      </c>
      <c r="C37" s="77" t="n">
        <v>6.23</v>
      </c>
    </row>
    <row r="38">
      <c r="A38" s="78" t="n">
        <v>36</v>
      </c>
      <c r="B38" s="79" t="inlineStr">
        <is>
          <t>Santa Cruz</t>
        </is>
      </c>
      <c r="C38" s="80" t="n">
        <v>7.19</v>
      </c>
    </row>
    <row r="39">
      <c r="A39" s="54" t="n">
        <v>37</v>
      </c>
      <c r="B39" s="76" t="inlineStr">
        <is>
          <t>Libertadores</t>
        </is>
      </c>
      <c r="C39" s="77" t="n">
        <v>8.74</v>
      </c>
    </row>
    <row r="40">
      <c r="B40" s="12" t="inlineStr">
        <is>
          <t>TOTAL</t>
        </is>
      </c>
      <c r="C40" s="81">
        <f>SUM(C3:C39)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2026-06-17T16:08:17Z</dcterms:created>
  <dcterms:modified xsi:type="dcterms:W3CDTF">2026-06-17T16:08:17Z</dcterms:modified>
</cp:coreProperties>
</file>